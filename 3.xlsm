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codeName="ЭтаКнига"/>
  <mc:AlternateContent xmlns:mc="http://schemas.openxmlformats.org/markup-compatibility/2006">
    <mc:Choice Requires="x15">
      <x15ac:absPath xmlns:x15ac="http://schemas.microsoft.com/office/spreadsheetml/2010/11/ac" url="I:\КУРСАЧ\3\"/>
    </mc:Choice>
  </mc:AlternateContent>
  <xr:revisionPtr revIDLastSave="0" documentId="13_ncr:1_{F3DFA57F-139D-4D1B-B385-ABA5B8325ABD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Лист1" sheetId="1" r:id="rId1"/>
  </sheets>
  <definedNames>
    <definedName name="solver_adj" localSheetId="0" hidden="1">Лист1!$C$23:$L$32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Лист1!$C$23:$L$32</definedName>
    <definedName name="solver_lhs2" localSheetId="0" hidden="1">Лист1!$C$23:$L$32</definedName>
    <definedName name="solver_lhs3" localSheetId="0" hidden="1">Лист1!$C$33:$L$33</definedName>
    <definedName name="solver_lhs4" localSheetId="0" hidden="1">Лист1!$D$33:$K$33</definedName>
    <definedName name="solver_lhs5" localSheetId="0" hidden="1">Лист1!$L$33</definedName>
    <definedName name="solver_lhs6" localSheetId="0" hidden="1">Лист1!$M$23</definedName>
    <definedName name="solver_lhs7" localSheetId="0" hidden="1">Лист1!$M$23:$M$32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7</definedName>
    <definedName name="solver_nwt" localSheetId="0" hidden="1">1</definedName>
    <definedName name="solver_opt" localSheetId="0" hidden="1">Лист1!$N$24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5</definedName>
    <definedName name="solver_rel3" localSheetId="0" hidden="1">1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1</definedName>
    <definedName name="solver_rhs1" localSheetId="0" hidden="1">Лист1!$C$3:$L$12</definedName>
    <definedName name="solver_rhs2" localSheetId="0" hidden="1">"бинарное"</definedName>
    <definedName name="solver_rhs3" localSheetId="0" hidden="1">1</definedName>
    <definedName name="solver_rhs4" localSheetId="0" hidden="1">Лист1!$D$35:$K$35</definedName>
    <definedName name="solver_rhs5" localSheetId="0" hidden="1">1</definedName>
    <definedName name="solver_rhs6" localSheetId="0" hidden="1">1</definedName>
    <definedName name="solver_rhs7" localSheetId="0" hidden="1">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L36" i="1"/>
  <c r="C36" i="1"/>
  <c r="N24" i="1"/>
  <c r="D33" i="1"/>
  <c r="E33" i="1"/>
  <c r="F33" i="1"/>
  <c r="G33" i="1"/>
  <c r="H33" i="1"/>
  <c r="I33" i="1"/>
  <c r="J33" i="1"/>
  <c r="K33" i="1"/>
  <c r="L33" i="1"/>
  <c r="C33" i="1"/>
  <c r="M24" i="1"/>
  <c r="D35" i="1" s="1"/>
  <c r="D36" i="1" s="1"/>
  <c r="M25" i="1"/>
  <c r="E35" i="1" s="1"/>
  <c r="E36" i="1" s="1"/>
  <c r="M26" i="1"/>
  <c r="F35" i="1" s="1"/>
  <c r="F36" i="1" s="1"/>
  <c r="M27" i="1"/>
  <c r="G35" i="1" s="1"/>
  <c r="G36" i="1" s="1"/>
  <c r="M28" i="1"/>
  <c r="H35" i="1" s="1"/>
  <c r="H36" i="1" s="1"/>
  <c r="M29" i="1"/>
  <c r="I35" i="1" s="1"/>
  <c r="I36" i="1" s="1"/>
  <c r="M30" i="1"/>
  <c r="J35" i="1" s="1"/>
  <c r="J36" i="1" s="1"/>
  <c r="M31" i="1"/>
  <c r="K35" i="1" s="1"/>
  <c r="K36" i="1" s="1"/>
  <c r="M32" i="1"/>
  <c r="M23" i="1"/>
</calcChain>
</file>

<file path=xl/sharedStrings.xml><?xml version="1.0" encoding="utf-8"?>
<sst xmlns="http://schemas.openxmlformats.org/spreadsheetml/2006/main" count="60" uniqueCount="19">
  <si>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</si>
  <si>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</si>
  <si>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</si>
  <si>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</si>
  <si>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</si>
  <si>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</si>
  <si>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</si>
  <si>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</si>
  <si>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</si>
  <si>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</si>
  <si>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Пункт назначения</t>
  </si>
  <si>
    <t>Пункт</t>
  </si>
  <si>
    <t>отправле</t>
  </si>
  <si>
    <t>ния</t>
  </si>
  <si>
    <t>Вышел</t>
  </si>
  <si>
    <t>Зашел</t>
  </si>
  <si>
    <t>=</t>
  </si>
  <si>
    <t>Целевая</t>
  </si>
  <si>
    <t>Путь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</si>
</sst>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4" xfId="0" applyFont="1" applyBorder="1"/>
    <xf numFmtId="0" fontId="1" fillId="0" borderId="5" xfId="0" applyFont="1" applyBorder="1"/>
    <xf numFmtId="0" fontId="0" fillId="0" borderId="6" xfId="0" applyBorder="1"/>
    <xf numFmtId="0" fontId="0" fillId="0" borderId="7" xfId="0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" fillId="0" borderId="0" xfId="0" applyFont="1" applyBorder="1"/>
    <xf numFmtId="0" fontId="0" fillId="0" borderId="0" xfId="0" applyBorder="1"/>
    <xf numFmtId="0" fontId="0" fillId="0" borderId="0" xfId="0" applyAlignment="1">
      <alignment horizontal="center"/>
    </xf>
    <xf numFmtId="0" fontId="1" fillId="0" borderId="0" xfId="0" applyFont="1" applyFill="1" applyBorder="1"/>
    <xf numFmtId="0" fontId="0" fillId="0" borderId="16" xfId="0" applyBorder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20" xfId="0" applyFont="1" applyBorder="1"/>
    <xf numFmtId="0" fontId="0" fillId="0" borderId="21" xfId="0" applyBorder="1"/>
    <xf numFmtId="0" fontId="0" fillId="2" borderId="0" xfId="0" applyFill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6570</xdr:colOff>
      <xdr:row>0</xdr:row>
      <xdr:rowOff>190500</xdr:rowOff>
    </xdr:from>
    <xdr:to>
      <xdr:col>18</xdr:col>
      <xdr:colOff>564932</xdr:colOff>
      <xdr:row>12</xdr:row>
      <xdr:rowOff>4195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5E66B9F2-C3C5-BC41-BA95-E3991CB95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7536" y="190500"/>
          <a:ext cx="4223844" cy="21194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6"/>
  <sheetViews>
    <sheetView tabSelected="1" topLeftCell="A9" zoomScale="145" zoomScaleNormal="145" workbookViewId="0">
      <selection activeCell="O22" sqref="O22"/>
    </sheetView>
  </sheetViews>
  <sheetFormatPr defaultRowHeight="15" x14ac:dyDescent="0.25"/>
  <sheetData>
    <row r="1" spans="1:13" ht="15.75" thickBot="1" x14ac:dyDescent="0.3">
      <c r="F1" t="s">
        <v>10</v>
      </c>
      <c r="L1" s="16"/>
      <c r="M1" s="16"/>
    </row>
    <row r="2" spans="1:13" ht="15.75" thickBot="1" x14ac:dyDescent="0.3">
      <c r="B2" s="3"/>
      <c r="C2" s="8" t="s">
        <v>0</v>
      </c>
      <c r="D2" s="9" t="s">
        <v>1</v>
      </c>
      <c r="E2" s="9" t="s">
        <v>2</v>
      </c>
      <c r="F2" s="9" t="s">
        <v>3</v>
      </c>
      <c r="G2" s="9" t="s">
        <v>4</v>
      </c>
      <c r="H2" s="9" t="s">
        <v>5</v>
      </c>
      <c r="I2" s="9" t="s">
        <v>6</v>
      </c>
      <c r="J2" s="9" t="s">
        <v>7</v>
      </c>
      <c r="K2" s="9" t="s">
        <v>8</v>
      </c>
      <c r="L2" s="10" t="s">
        <v>9</v>
      </c>
      <c r="M2" s="17"/>
    </row>
    <row r="3" spans="1:13" x14ac:dyDescent="0.25">
      <c r="B3" s="4" t="s">
        <v>0</v>
      </c>
      <c r="C3" s="6">
        <v>0</v>
      </c>
      <c r="D3" s="7">
        <v>4</v>
      </c>
      <c r="E3" s="7">
        <v>3</v>
      </c>
      <c r="F3" s="7">
        <v>6</v>
      </c>
      <c r="G3" s="7">
        <v>1</v>
      </c>
      <c r="H3" s="7">
        <v>0</v>
      </c>
      <c r="I3" s="7">
        <v>0</v>
      </c>
      <c r="J3" s="7">
        <v>0</v>
      </c>
      <c r="K3" s="7">
        <v>0</v>
      </c>
      <c r="L3" s="11">
        <v>0</v>
      </c>
      <c r="M3" s="17"/>
    </row>
    <row r="4" spans="1:13" x14ac:dyDescent="0.25">
      <c r="B4" s="4" t="s">
        <v>1</v>
      </c>
      <c r="C4" s="2">
        <v>4</v>
      </c>
      <c r="D4" s="1">
        <v>0</v>
      </c>
      <c r="E4" s="1">
        <v>2</v>
      </c>
      <c r="F4" s="1">
        <v>0</v>
      </c>
      <c r="G4" s="1">
        <v>0</v>
      </c>
      <c r="H4" s="1">
        <v>6</v>
      </c>
      <c r="I4" s="1">
        <v>0</v>
      </c>
      <c r="J4" s="1">
        <v>0</v>
      </c>
      <c r="K4" s="1">
        <v>0</v>
      </c>
      <c r="L4" s="12">
        <v>0</v>
      </c>
      <c r="M4" s="17"/>
    </row>
    <row r="5" spans="1:13" x14ac:dyDescent="0.25">
      <c r="B5" s="4" t="s">
        <v>2</v>
      </c>
      <c r="C5" s="2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3</v>
      </c>
      <c r="J5" s="1">
        <v>0</v>
      </c>
      <c r="K5" s="1">
        <v>0</v>
      </c>
      <c r="L5" s="12">
        <v>0</v>
      </c>
      <c r="M5" s="17"/>
    </row>
    <row r="6" spans="1:13" x14ac:dyDescent="0.25">
      <c r="A6" s="18" t="s">
        <v>11</v>
      </c>
      <c r="B6" s="4" t="s">
        <v>3</v>
      </c>
      <c r="C6" s="2">
        <v>0</v>
      </c>
      <c r="D6" s="1">
        <v>0</v>
      </c>
      <c r="E6" s="1">
        <v>1</v>
      </c>
      <c r="F6" s="1">
        <v>0</v>
      </c>
      <c r="G6" s="1">
        <v>0</v>
      </c>
      <c r="H6" s="1">
        <v>0</v>
      </c>
      <c r="I6" s="1">
        <v>0</v>
      </c>
      <c r="J6" s="1">
        <v>2</v>
      </c>
      <c r="K6" s="1">
        <v>0</v>
      </c>
      <c r="L6" s="12">
        <v>0</v>
      </c>
      <c r="M6" s="17"/>
    </row>
    <row r="7" spans="1:13" x14ac:dyDescent="0.25">
      <c r="A7" t="s">
        <v>12</v>
      </c>
      <c r="B7" s="4" t="s">
        <v>4</v>
      </c>
      <c r="C7" s="2">
        <v>0</v>
      </c>
      <c r="D7" s="1">
        <v>0</v>
      </c>
      <c r="E7" s="1">
        <v>0</v>
      </c>
      <c r="F7" s="1">
        <v>4</v>
      </c>
      <c r="G7" s="1">
        <v>0</v>
      </c>
      <c r="H7" s="1">
        <v>0</v>
      </c>
      <c r="I7" s="1">
        <v>0</v>
      </c>
      <c r="J7" s="1">
        <v>5</v>
      </c>
      <c r="K7" s="1">
        <v>0</v>
      </c>
      <c r="L7" s="12">
        <v>0</v>
      </c>
      <c r="M7" s="17"/>
    </row>
    <row r="8" spans="1:13" x14ac:dyDescent="0.25">
      <c r="A8" s="18" t="s">
        <v>13</v>
      </c>
      <c r="B8" s="4" t="s">
        <v>5</v>
      </c>
      <c r="C8" s="2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2">
        <v>1</v>
      </c>
      <c r="M8" s="17"/>
    </row>
    <row r="9" spans="1:13" x14ac:dyDescent="0.25">
      <c r="B9" s="4" t="s">
        <v>6</v>
      </c>
      <c r="C9" s="2">
        <v>0</v>
      </c>
      <c r="D9" s="1">
        <v>0</v>
      </c>
      <c r="E9" s="1">
        <v>0</v>
      </c>
      <c r="F9" s="1">
        <v>0</v>
      </c>
      <c r="G9" s="1">
        <v>0</v>
      </c>
      <c r="H9" s="1">
        <v>6</v>
      </c>
      <c r="I9" s="1">
        <v>0</v>
      </c>
      <c r="J9" s="1">
        <v>0</v>
      </c>
      <c r="K9" s="1">
        <v>0</v>
      </c>
      <c r="L9" s="12">
        <v>3</v>
      </c>
      <c r="M9" s="17"/>
    </row>
    <row r="10" spans="1:13" x14ac:dyDescent="0.25">
      <c r="B10" s="4" t="s">
        <v>7</v>
      </c>
      <c r="C10" s="2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2</v>
      </c>
      <c r="L10" s="12">
        <v>4</v>
      </c>
      <c r="M10" s="17"/>
    </row>
    <row r="11" spans="1:13" x14ac:dyDescent="0.25">
      <c r="B11" s="4" t="s">
        <v>8</v>
      </c>
      <c r="C11" s="2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2">
        <v>7</v>
      </c>
      <c r="M11" s="17"/>
    </row>
    <row r="12" spans="1:13" ht="15.75" thickBot="1" x14ac:dyDescent="0.3">
      <c r="A12" s="16"/>
      <c r="B12" s="5" t="s">
        <v>9</v>
      </c>
      <c r="C12" s="13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5">
        <v>0</v>
      </c>
      <c r="M12" s="17"/>
    </row>
    <row r="13" spans="1:13" x14ac:dyDescent="0.25">
      <c r="A13" s="16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</row>
    <row r="21" spans="1:15" ht="15.75" thickBot="1" x14ac:dyDescent="0.3">
      <c r="F21" t="s">
        <v>10</v>
      </c>
      <c r="L21" s="16"/>
    </row>
    <row r="22" spans="1:15" x14ac:dyDescent="0.25">
      <c r="B22" s="20"/>
      <c r="C22" s="23" t="s">
        <v>0</v>
      </c>
      <c r="D22" s="23" t="s">
        <v>1</v>
      </c>
      <c r="E22" s="23" t="s">
        <v>2</v>
      </c>
      <c r="F22" s="23" t="s">
        <v>3</v>
      </c>
      <c r="G22" s="23" t="s">
        <v>4</v>
      </c>
      <c r="H22" s="23" t="s">
        <v>5</v>
      </c>
      <c r="I22" s="23" t="s">
        <v>6</v>
      </c>
      <c r="J22" s="23" t="s">
        <v>7</v>
      </c>
      <c r="K22" s="23" t="s">
        <v>8</v>
      </c>
      <c r="L22" s="24" t="s">
        <v>9</v>
      </c>
      <c r="M22" s="19" t="s">
        <v>14</v>
      </c>
    </row>
    <row r="23" spans="1:15" ht="15.75" thickBot="1" x14ac:dyDescent="0.3">
      <c r="B23" s="21" t="s">
        <v>0</v>
      </c>
      <c r="C23" s="25">
        <v>0</v>
      </c>
      <c r="D23" s="14">
        <v>0</v>
      </c>
      <c r="E23" s="14">
        <v>0</v>
      </c>
      <c r="F23" s="14">
        <v>1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5">
        <v>0</v>
      </c>
      <c r="M23" s="2">
        <f>SUM(C23:L23)</f>
        <v>1</v>
      </c>
      <c r="N23" t="s">
        <v>17</v>
      </c>
      <c r="O23" t="s">
        <v>18</v>
      </c>
    </row>
    <row r="24" spans="1:15" ht="15.75" thickBot="1" x14ac:dyDescent="0.3">
      <c r="B24" s="21" t="s">
        <v>1</v>
      </c>
      <c r="C24" s="25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5">
        <v>0</v>
      </c>
      <c r="M24" s="2">
        <f t="shared" ref="M24:M32" si="0">SUM(C24:L24)</f>
        <v>0</v>
      </c>
      <c r="N24" s="26">
        <f>SUMPRODUCT(C3:L12,C23:L32)</f>
        <v>17</v>
      </c>
      <c r="O24" s="27" t="str">
        <f>CONCATENATE(C36,D36,E36,F36,G36,H36,I36,J36,K36,L36)</f>
        <v>ADHIJ</v>
      </c>
    </row>
    <row r="25" spans="1:15" ht="15.75" thickBot="1" x14ac:dyDescent="0.3">
      <c r="B25" s="21" t="s">
        <v>2</v>
      </c>
      <c r="C25" s="25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5">
        <v>0</v>
      </c>
      <c r="M25" s="2">
        <f t="shared" si="0"/>
        <v>0</v>
      </c>
    </row>
    <row r="26" spans="1:15" ht="15.75" thickBot="1" x14ac:dyDescent="0.3">
      <c r="A26" s="18" t="s">
        <v>11</v>
      </c>
      <c r="B26" s="21" t="s">
        <v>3</v>
      </c>
      <c r="C26" s="25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1</v>
      </c>
      <c r="K26" s="14">
        <v>0</v>
      </c>
      <c r="L26" s="15">
        <v>0</v>
      </c>
      <c r="M26" s="2">
        <f t="shared" si="0"/>
        <v>1</v>
      </c>
    </row>
    <row r="27" spans="1:15" ht="15.75" thickBot="1" x14ac:dyDescent="0.3">
      <c r="A27" t="s">
        <v>12</v>
      </c>
      <c r="B27" s="21" t="s">
        <v>4</v>
      </c>
      <c r="C27" s="25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5">
        <v>0</v>
      </c>
      <c r="M27" s="2">
        <f t="shared" si="0"/>
        <v>0</v>
      </c>
    </row>
    <row r="28" spans="1:15" ht="15.75" thickBot="1" x14ac:dyDescent="0.3">
      <c r="A28" s="18" t="s">
        <v>13</v>
      </c>
      <c r="B28" s="21" t="s">
        <v>5</v>
      </c>
      <c r="C28" s="25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5">
        <v>0</v>
      </c>
      <c r="M28" s="2">
        <f t="shared" si="0"/>
        <v>0</v>
      </c>
    </row>
    <row r="29" spans="1:15" ht="15.75" thickBot="1" x14ac:dyDescent="0.3">
      <c r="B29" s="21" t="s">
        <v>6</v>
      </c>
      <c r="C29" s="25">
        <v>0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5">
        <v>0</v>
      </c>
      <c r="M29" s="2">
        <f t="shared" si="0"/>
        <v>0</v>
      </c>
    </row>
    <row r="30" spans="1:15" ht="15.75" thickBot="1" x14ac:dyDescent="0.3">
      <c r="B30" s="21" t="s">
        <v>7</v>
      </c>
      <c r="C30" s="25">
        <v>0</v>
      </c>
      <c r="D30" s="14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1</v>
      </c>
      <c r="L30" s="15">
        <v>0</v>
      </c>
      <c r="M30" s="2">
        <f t="shared" si="0"/>
        <v>1</v>
      </c>
    </row>
    <row r="31" spans="1:15" ht="15.75" thickBot="1" x14ac:dyDescent="0.3">
      <c r="B31" s="21" t="s">
        <v>8</v>
      </c>
      <c r="C31" s="25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5">
        <v>1</v>
      </c>
      <c r="M31" s="2">
        <f t="shared" si="0"/>
        <v>1</v>
      </c>
    </row>
    <row r="32" spans="1:15" ht="15.75" thickBot="1" x14ac:dyDescent="0.3">
      <c r="A32" s="16"/>
      <c r="B32" s="22" t="s">
        <v>9</v>
      </c>
      <c r="C32" s="25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5">
        <v>0</v>
      </c>
      <c r="M32" s="2">
        <f t="shared" si="0"/>
        <v>0</v>
      </c>
    </row>
    <row r="33" spans="2:13" x14ac:dyDescent="0.25">
      <c r="B33" s="19" t="s">
        <v>15</v>
      </c>
      <c r="C33" s="7">
        <f>SUM(C23:C32)</f>
        <v>0</v>
      </c>
      <c r="D33" s="7">
        <f t="shared" ref="D33:L33" si="1">SUM(D23:D32)</f>
        <v>0</v>
      </c>
      <c r="E33" s="7">
        <f t="shared" si="1"/>
        <v>0</v>
      </c>
      <c r="F33" s="7">
        <f t="shared" si="1"/>
        <v>1</v>
      </c>
      <c r="G33" s="7">
        <f t="shared" si="1"/>
        <v>0</v>
      </c>
      <c r="H33" s="7">
        <f t="shared" si="1"/>
        <v>0</v>
      </c>
      <c r="I33" s="7">
        <f t="shared" si="1"/>
        <v>0</v>
      </c>
      <c r="J33" s="7">
        <f t="shared" si="1"/>
        <v>1</v>
      </c>
      <c r="K33" s="7">
        <f t="shared" si="1"/>
        <v>1</v>
      </c>
      <c r="L33" s="7">
        <f t="shared" si="1"/>
        <v>1</v>
      </c>
      <c r="M33" s="1"/>
    </row>
    <row r="34" spans="2:13" x14ac:dyDescent="0.25">
      <c r="D34" s="18" t="s">
        <v>16</v>
      </c>
      <c r="E34" s="18" t="s">
        <v>16</v>
      </c>
      <c r="F34" s="18" t="s">
        <v>16</v>
      </c>
      <c r="G34" s="18" t="s">
        <v>16</v>
      </c>
      <c r="H34" s="18" t="s">
        <v>16</v>
      </c>
      <c r="I34" s="18" t="s">
        <v>16</v>
      </c>
      <c r="J34" s="18" t="s">
        <v>16</v>
      </c>
      <c r="K34" s="18" t="s">
        <v>16</v>
      </c>
    </row>
    <row r="35" spans="2:13" x14ac:dyDescent="0.25">
      <c r="D35" s="1">
        <f>M24</f>
        <v>0</v>
      </c>
      <c r="E35" s="1">
        <f>M25</f>
        <v>0</v>
      </c>
      <c r="F35" s="1">
        <f>M26</f>
        <v>1</v>
      </c>
      <c r="G35" s="1">
        <f>M27</f>
        <v>0</v>
      </c>
      <c r="H35" s="1">
        <f>M28</f>
        <v>0</v>
      </c>
      <c r="I35" s="1">
        <f>M29</f>
        <v>0</v>
      </c>
      <c r="J35" s="1">
        <f>M30</f>
        <v>1</v>
      </c>
      <c r="K35" s="1">
        <f>M31</f>
        <v>1</v>
      </c>
    </row>
    <row r="36" spans="2:13" x14ac:dyDescent="0.25">
      <c r="C36" s="18" t="str">
        <f>C22</f>
        <v>A</v>
      </c>
      <c r="D36" s="18" t="str">
        <f>IF(D35=1,D22,"")</f>
        <v/>
      </c>
      <c r="E36" s="18" t="str">
        <f>IF(E35=1,E22,"")</f>
        <v/>
      </c>
      <c r="F36" s="18" t="str">
        <f t="shared" ref="E36:K36" si="2">IF(F35=1,F22,"")</f>
        <v>D</v>
      </c>
      <c r="G36" s="18" t="str">
        <f t="shared" si="2"/>
        <v/>
      </c>
      <c r="H36" s="18" t="str">
        <f t="shared" si="2"/>
        <v/>
      </c>
      <c r="I36" s="18" t="str">
        <f t="shared" si="2"/>
        <v/>
      </c>
      <c r="J36" s="18" t="str">
        <f t="shared" si="2"/>
        <v>H</v>
      </c>
      <c r="K36" s="18" t="str">
        <f t="shared" si="2"/>
        <v>I</v>
      </c>
      <c r="L36" s="18" t="str">
        <f>L22</f>
        <v>J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 Kar</dc:creator>
  <cp:lastModifiedBy>Dani Kar</cp:lastModifiedBy>
  <dcterms:created xsi:type="dcterms:W3CDTF">2015-06-05T18:19:34Z</dcterms:created>
  <dcterms:modified xsi:type="dcterms:W3CDTF">2024-04-29T19:10:33Z</dcterms:modified>
</cp:coreProperties>
</file>